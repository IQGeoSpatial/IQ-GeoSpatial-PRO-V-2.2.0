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esar\Development\Projects\IQ GeoSpatial Technology\IQ GeoSpatial Pro V-2.2.0\Assets\Templates\"/>
    </mc:Choice>
  </mc:AlternateContent>
  <xr:revisionPtr revIDLastSave="0" documentId="13_ncr:1_{6F1C9F98-BCAE-48C5-9F5D-B630B4D7FBA0}" xr6:coauthVersionLast="47" xr6:coauthVersionMax="47" xr10:uidLastSave="{00000000-0000-0000-0000-000000000000}"/>
  <bookViews>
    <workbookView xWindow="-120" yWindow="-120" windowWidth="29040" windowHeight="15720" activeTab="2" xr2:uid="{2826F406-C9C4-4B7C-BFB3-29364BC2B672}"/>
  </bookViews>
  <sheets>
    <sheet name="FORMULARIO 001" sheetId="1" r:id="rId1"/>
    <sheet name="FORMULARIO 002 Y 003" sheetId="3" r:id="rId2"/>
    <sheet name="FORMULARIO 004 Y 005" sheetId="6" r:id="rId3"/>
    <sheet name="IQ GeoSpatial Technolog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B7" i="6"/>
  <c r="B8" i="6"/>
  <c r="B9" i="6"/>
  <c r="B5" i="6"/>
  <c r="B6" i="6"/>
  <c r="B4" i="6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B10" i="3"/>
  <c r="N15" i="6"/>
  <c r="M15" i="6"/>
  <c r="B22" i="3"/>
  <c r="B21" i="3"/>
  <c r="B20" i="3"/>
  <c r="B19" i="3"/>
  <c r="B18" i="3"/>
  <c r="B17" i="3"/>
  <c r="B16" i="3"/>
  <c r="B15" i="3"/>
  <c r="B14" i="3"/>
  <c r="B13" i="3"/>
  <c r="B12" i="3"/>
  <c r="B11" i="3"/>
  <c r="B15" i="6"/>
  <c r="L15" i="6"/>
  <c r="K15" i="6"/>
  <c r="J15" i="6"/>
  <c r="I15" i="6"/>
  <c r="H15" i="6"/>
  <c r="G15" i="6"/>
  <c r="F15" i="6"/>
  <c r="E15" i="6"/>
  <c r="D15" i="6"/>
  <c r="C15" i="6"/>
  <c r="B3" i="3"/>
  <c r="B4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Isaias Cesar Quintana Errazabal</author>
  </authors>
  <commentList>
    <comment ref="A18" authorId="0" shapeId="0" xr:uid="{6400A7B0-CA6F-4AE5-8B53-E6C07D97E3F5}">
      <text>
        <r>
          <rPr>
            <b/>
            <sz val="9"/>
            <color indexed="81"/>
            <rFont val="Tahoma"/>
            <family val="2"/>
          </rPr>
          <t>IQ GeoSpatial:
PUNTO_1</t>
        </r>
      </text>
    </comment>
    <comment ref="A19" authorId="0" shapeId="0" xr:uid="{D16F23FB-4DE0-4F95-AA1F-B3C6AD5C70FF}">
      <text>
        <r>
          <rPr>
            <b/>
            <sz val="9"/>
            <color indexed="81"/>
            <rFont val="Tahoma"/>
            <family val="2"/>
          </rPr>
          <t>IQ GeoSpatial:
PUNTO_2</t>
        </r>
      </text>
    </comment>
    <comment ref="A20" authorId="0" shapeId="0" xr:uid="{49A1C7D0-5F6A-4F37-9870-159A134632A9}">
      <text>
        <r>
          <rPr>
            <b/>
            <sz val="9"/>
            <color indexed="81"/>
            <rFont val="Tahoma"/>
            <family val="2"/>
          </rPr>
          <t>IQ GeoSpatial:
PUNTO_3</t>
        </r>
      </text>
    </comment>
    <comment ref="A21" authorId="0" shapeId="0" xr:uid="{EFFF3E34-7A59-4398-B242-81593D8D5AF9}">
      <text>
        <r>
          <rPr>
            <b/>
            <sz val="9"/>
            <color indexed="81"/>
            <rFont val="Tahoma"/>
            <family val="2"/>
          </rPr>
          <t>IQ GeoSpatial:
PUNTO_4</t>
        </r>
      </text>
    </comment>
    <comment ref="A22" authorId="0" shapeId="0" xr:uid="{25B6142C-7F2D-404C-871D-215607111C12}">
      <text>
        <r>
          <rPr>
            <b/>
            <sz val="9"/>
            <color indexed="81"/>
            <rFont val="Tahoma"/>
            <family val="2"/>
          </rPr>
          <t>IQ GeoSpatial:
PUNTO_5</t>
        </r>
      </text>
    </comment>
    <comment ref="A23" authorId="0" shapeId="0" xr:uid="{7041F454-342B-42A2-AF77-8787C43E1102}">
      <text>
        <r>
          <rPr>
            <b/>
            <sz val="9"/>
            <color indexed="81"/>
            <rFont val="Tahoma"/>
            <family val="2"/>
          </rPr>
          <t>IQ GeoSpatial:
PUNTO_6</t>
        </r>
      </text>
    </comment>
    <comment ref="A24" authorId="0" shapeId="0" xr:uid="{540FA58D-189F-4641-ADBB-A8CB88440DDA}">
      <text>
        <r>
          <rPr>
            <b/>
            <sz val="9"/>
            <color indexed="81"/>
            <rFont val="Tahoma"/>
            <family val="2"/>
          </rPr>
          <t>IQ GeoSpatial:
PUNTO_7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87E6A73A-7ADD-467D-9F7C-D5C66F2AB780}">
      <text>
        <r>
          <rPr>
            <b/>
            <sz val="9"/>
            <color indexed="81"/>
            <rFont val="Tahoma"/>
            <family val="2"/>
          </rPr>
          <t>IQ GeoSpatial:
PUNTO_8</t>
        </r>
      </text>
    </comment>
    <comment ref="A26" authorId="0" shapeId="0" xr:uid="{2E095581-3270-4920-B60B-FB097304CE67}">
      <text>
        <r>
          <rPr>
            <b/>
            <sz val="9"/>
            <color indexed="81"/>
            <rFont val="Tahoma"/>
            <family val="2"/>
          </rPr>
          <t>IQ GeoSpatial:
PUNTO_9</t>
        </r>
      </text>
    </comment>
    <comment ref="A27" authorId="0" shapeId="0" xr:uid="{EE2D9F38-6248-4AF1-961D-65F9C05ED1B6}">
      <text>
        <r>
          <rPr>
            <b/>
            <sz val="9"/>
            <color indexed="81"/>
            <rFont val="Tahoma"/>
            <family val="2"/>
          </rPr>
          <t>IQ GeoSpatial:
PUNTO_10</t>
        </r>
      </text>
    </comment>
    <comment ref="A28" authorId="0" shapeId="0" xr:uid="{6C6B595A-035F-4632-A136-9B469B9809FB}">
      <text>
        <r>
          <rPr>
            <b/>
            <sz val="9"/>
            <color indexed="81"/>
            <rFont val="Tahoma"/>
            <family val="2"/>
          </rPr>
          <t>IQ GeoSpatial:
PUNTO_11</t>
        </r>
      </text>
    </comment>
    <comment ref="A29" authorId="0" shapeId="0" xr:uid="{E5B2C4BE-0403-4840-829B-A33FB30C90EF}">
      <text>
        <r>
          <rPr>
            <b/>
            <sz val="9"/>
            <color indexed="81"/>
            <rFont val="Tahoma"/>
            <family val="2"/>
          </rPr>
          <t>IQ GeoSpatial:
PUNTO_12</t>
        </r>
      </text>
    </comment>
    <comment ref="A30" authorId="0" shapeId="0" xr:uid="{7C1C440B-AAC3-411A-9AA0-E32AC89CCE2E}">
      <text>
        <r>
          <rPr>
            <b/>
            <sz val="9"/>
            <color indexed="81"/>
            <rFont val="Tahoma"/>
            <family val="2"/>
          </rPr>
          <t>IQ GeoSpatial:
PUNTO_13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</author>
    <author>Isaias Cesar Quintana Errazabal</author>
  </authors>
  <commentList>
    <comment ref="B8" authorId="0" shapeId="0" xr:uid="{3D919159-C0CA-49BF-B256-357F3345FC64}">
      <text>
        <r>
          <rPr>
            <b/>
            <sz val="9"/>
            <color indexed="81"/>
            <rFont val="Tahoma"/>
            <family val="2"/>
          </rPr>
          <t xml:space="preserve">IQGeoSpatial:
</t>
        </r>
        <r>
          <rPr>
            <sz val="9"/>
            <color indexed="81"/>
            <rFont val="Tahoma"/>
            <family val="2"/>
          </rPr>
          <t>Ejem: 10 de agosto del 2025</t>
        </r>
      </text>
    </comment>
    <comment ref="A10" authorId="1" shapeId="0" xr:uid="{FDA7FB1E-4A69-475F-B8B4-4B872F6A3FC5}">
      <text>
        <r>
          <rPr>
            <b/>
            <sz val="9"/>
            <color indexed="81"/>
            <rFont val="Tahoma"/>
            <family val="2"/>
          </rPr>
          <t>IQ GeoSpatial:
PUNTO_1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1" shapeId="0" xr:uid="{96AF6904-CA21-4677-9349-8B893194C2F1}">
      <text>
        <r>
          <rPr>
            <b/>
            <sz val="9"/>
            <color indexed="81"/>
            <rFont val="Tahoma"/>
            <family val="2"/>
          </rPr>
          <t>IQ GeoSpatial:
PUNTO_2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1" shapeId="0" xr:uid="{EC6C6126-FEE9-48D0-8BB7-43E9E106329A}">
      <text>
        <r>
          <rPr>
            <b/>
            <sz val="9"/>
            <color indexed="81"/>
            <rFont val="Tahoma"/>
            <family val="2"/>
          </rPr>
          <t>IQ GeoSpatial:
PUNTO_3</t>
        </r>
      </text>
    </comment>
    <comment ref="A13" authorId="1" shapeId="0" xr:uid="{A5BCE09F-EABA-462D-886B-CBE02E56949C}">
      <text>
        <r>
          <rPr>
            <b/>
            <sz val="9"/>
            <color indexed="81"/>
            <rFont val="Tahoma"/>
            <family val="2"/>
          </rPr>
          <t>IQ GeoSpatial:
PUNTO_4</t>
        </r>
      </text>
    </comment>
    <comment ref="A14" authorId="1" shapeId="0" xr:uid="{25B9D61A-AE3A-4E5D-A49F-1469E273F4ED}">
      <text>
        <r>
          <rPr>
            <b/>
            <sz val="9"/>
            <color indexed="81"/>
            <rFont val="Tahoma"/>
            <family val="2"/>
          </rPr>
          <t>IQ GeoSpatial:
PUNTO_5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1" shapeId="0" xr:uid="{C87A9DA5-0F06-4FAD-AFC4-D57376634816}">
      <text>
        <r>
          <rPr>
            <b/>
            <sz val="9"/>
            <color indexed="81"/>
            <rFont val="Tahoma"/>
            <family val="2"/>
          </rPr>
          <t>IQ GeoSpatial:
PUNTO_6</t>
        </r>
      </text>
    </comment>
    <comment ref="A16" authorId="1" shapeId="0" xr:uid="{02B5860A-B382-494F-9FF4-2C58CC30201F}">
      <text>
        <r>
          <rPr>
            <b/>
            <sz val="9"/>
            <color indexed="81"/>
            <rFont val="Tahoma"/>
            <family val="2"/>
          </rPr>
          <t>IQ GeoSpatial:
PUNTO_7</t>
        </r>
      </text>
    </comment>
    <comment ref="A17" authorId="1" shapeId="0" xr:uid="{1AC7FDA1-5929-4676-8AD7-4149FFAC65EA}">
      <text>
        <r>
          <rPr>
            <b/>
            <sz val="9"/>
            <color indexed="81"/>
            <rFont val="Tahoma"/>
            <family val="2"/>
          </rPr>
          <t>IQ GeoSpatial:
PUNTO_8</t>
        </r>
      </text>
    </comment>
    <comment ref="A18" authorId="1" shapeId="0" xr:uid="{E0C28A93-E6BF-4358-8179-964D4A53C15E}">
      <text>
        <r>
          <rPr>
            <b/>
            <sz val="9"/>
            <color indexed="81"/>
            <rFont val="Tahoma"/>
            <family val="2"/>
          </rPr>
          <t>IQ GeoSpatial:
PUNTO_9</t>
        </r>
      </text>
    </comment>
    <comment ref="A19" authorId="1" shapeId="0" xr:uid="{B94B603E-3E0C-4962-9012-421686D43FA4}">
      <text>
        <r>
          <rPr>
            <b/>
            <sz val="9"/>
            <color indexed="81"/>
            <rFont val="Tahoma"/>
            <family val="2"/>
          </rPr>
          <t>IQ GeoSpatial:
PUNTO_10</t>
        </r>
      </text>
    </comment>
    <comment ref="A20" authorId="1" shapeId="0" xr:uid="{8A4B1B23-A2BF-4A69-BA67-A94F9909A9A1}">
      <text>
        <r>
          <rPr>
            <b/>
            <sz val="9"/>
            <color indexed="81"/>
            <rFont val="Tahoma"/>
            <family val="2"/>
          </rPr>
          <t>IQ GeoSpatial:
PUNTO_11</t>
        </r>
      </text>
    </comment>
    <comment ref="A21" authorId="1" shapeId="0" xr:uid="{A5878B97-B6BD-4E28-8053-1EF8BB0E4448}">
      <text>
        <r>
          <rPr>
            <b/>
            <sz val="9"/>
            <color indexed="81"/>
            <rFont val="Tahoma"/>
            <family val="2"/>
          </rPr>
          <t>IQ GeoSpatial:
PUNTO_12</t>
        </r>
      </text>
    </comment>
    <comment ref="A22" authorId="1" shapeId="0" xr:uid="{B3CFE546-5971-4EA9-A037-E702FDD44335}">
      <text>
        <r>
          <rPr>
            <b/>
            <sz val="9"/>
            <color indexed="81"/>
            <rFont val="Tahoma"/>
            <family val="2"/>
          </rPr>
          <t>IQ GeoSpatial:
PUNTO_13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Isaias Cesar Quintana Errazabal</author>
    <author>CESAR</author>
  </authors>
  <commentList>
    <comment ref="B11" authorId="0" shapeId="0" xr:uid="{0CD8057E-6D78-412E-ACC4-691C3AAD19AB}">
      <text>
        <r>
          <rPr>
            <b/>
            <sz val="9"/>
            <color indexed="81"/>
            <rFont val="Tahoma"/>
            <family val="2"/>
          </rPr>
          <t xml:space="preserve">IQ GeoSpatial:
</t>
        </r>
        <r>
          <rPr>
            <sz val="9"/>
            <color indexed="81"/>
            <rFont val="Tahoma"/>
            <family val="2"/>
          </rPr>
          <t>Inclinada o Vertical</t>
        </r>
      </text>
    </comment>
    <comment ref="B16" authorId="1" shapeId="0" xr:uid="{A580707B-1D66-4DEA-ADA9-7C197A2C1FF8}">
      <text>
        <r>
          <rPr>
            <b/>
            <sz val="9"/>
            <color indexed="81"/>
            <rFont val="Tahoma"/>
            <family val="2"/>
          </rPr>
          <t>IQGeoSpatial:
Ejem: 10/07/2025
Ejem: 10 de Julio de2025</t>
        </r>
      </text>
    </comment>
    <comment ref="B17" authorId="1" shapeId="0" xr:uid="{A0E3B1B2-4C1A-4201-8E1C-6CD3A01E192A}">
      <text>
        <r>
          <rPr>
            <b/>
            <sz val="9"/>
            <color indexed="81"/>
            <rFont val="Tahoma"/>
            <family val="2"/>
          </rPr>
          <t xml:space="preserve">IQGeospatial:
</t>
        </r>
        <r>
          <rPr>
            <sz val="9"/>
            <color indexed="81"/>
            <rFont val="Tahoma"/>
            <family val="2"/>
          </rPr>
          <t>Ejem: 08:15 ó 08:15:30</t>
        </r>
      </text>
    </comment>
    <comment ref="B18" authorId="1" shapeId="0" xr:uid="{E1ABE7A4-8A1D-4EA3-874A-26BDD3426019}">
      <text>
        <r>
          <rPr>
            <b/>
            <sz val="9"/>
            <color indexed="81"/>
            <rFont val="Tahoma"/>
            <family val="2"/>
          </rPr>
          <t xml:space="preserve">IQGeoSpatial:
</t>
        </r>
        <r>
          <rPr>
            <sz val="9"/>
            <color indexed="81"/>
            <rFont val="Tahoma"/>
            <family val="2"/>
          </rPr>
          <t>Ejem: 01:23 ó 01:23:34</t>
        </r>
      </text>
    </comment>
    <comment ref="B24" authorId="1" shapeId="0" xr:uid="{798C584E-7244-42CF-AEA6-FA3BA6DEB296}">
      <text>
        <r>
          <rPr>
            <b/>
            <sz val="9"/>
            <color indexed="81"/>
            <rFont val="Tahoma"/>
            <family val="2"/>
          </rPr>
          <t xml:space="preserve">IQGeoSpatial:
</t>
        </r>
        <r>
          <rPr>
            <sz val="9"/>
            <color indexed="81"/>
            <rFont val="Tahoma"/>
            <family val="2"/>
          </rPr>
          <t>Descripción de Monumentación de PG</t>
        </r>
      </text>
    </comment>
  </commentList>
</comments>
</file>

<file path=xl/sharedStrings.xml><?xml version="1.0" encoding="utf-8"?>
<sst xmlns="http://schemas.openxmlformats.org/spreadsheetml/2006/main" count="95" uniqueCount="69">
  <si>
    <t>DNI</t>
  </si>
  <si>
    <t>DIRECCION</t>
  </si>
  <si>
    <t>CELULAR</t>
  </si>
  <si>
    <t>RECEPTOR Y ANTENA GPS/GNSS UTILIZADOS</t>
  </si>
  <si>
    <t>RECEPTOR_TIPO</t>
  </si>
  <si>
    <t>RECEPTOR_MODELO</t>
  </si>
  <si>
    <t>RECEPTOR_MARCA</t>
  </si>
  <si>
    <t>ANTENA_TIPO</t>
  </si>
  <si>
    <t>ANTENA_MODELO</t>
  </si>
  <si>
    <t>ANTENA_MARCA</t>
  </si>
  <si>
    <t>SOFTWARE</t>
  </si>
  <si>
    <t>VERSION</t>
  </si>
  <si>
    <t>SOFTWARE EMPLEADO EN EL PROCESAMIENTO</t>
  </si>
  <si>
    <t>COD. PG A CERTIFICAR</t>
  </si>
  <si>
    <t>GNSS</t>
  </si>
  <si>
    <t>MODELO_X</t>
  </si>
  <si>
    <t>SOUTH</t>
  </si>
  <si>
    <t>ANT_200</t>
  </si>
  <si>
    <t>LEICA</t>
  </si>
  <si>
    <t>DOMICILIO</t>
  </si>
  <si>
    <t>DISTRITO</t>
  </si>
  <si>
    <t>PROVINCIA</t>
  </si>
  <si>
    <t>DEPARTAMENTO</t>
  </si>
  <si>
    <t>FECHA_PRESENTACION</t>
  </si>
  <si>
    <t>FORMULARIO: 002 Y 003</t>
  </si>
  <si>
    <t>FORMULARIO 003</t>
  </si>
  <si>
    <t>Inclinada</t>
  </si>
  <si>
    <t>LO MISMO PARA TODO</t>
  </si>
  <si>
    <t>DATOS DE PUNTOS GEODESICOS FORMULARIO 004 Y 005</t>
  </si>
  <si>
    <t>NOMBRE_Y_APELLIDO</t>
  </si>
  <si>
    <t>CORREO_ELECTRONICO</t>
  </si>
  <si>
    <t>PUNTO_1</t>
  </si>
  <si>
    <t>PUNTO_2</t>
  </si>
  <si>
    <t>PUNTO_3</t>
  </si>
  <si>
    <t>NOMBRE_DEL_PROYECTO</t>
  </si>
  <si>
    <t>DATOS_DEL_SOLICITANTE</t>
  </si>
  <si>
    <t>TIPO_DE_MEDIDA</t>
  </si>
  <si>
    <t>VALOR_ALTURA</t>
  </si>
  <si>
    <t>FECHA_POSICIONAMIENTO</t>
  </si>
  <si>
    <t>HORA_INICIO</t>
  </si>
  <si>
    <t>HORA_TERMINO</t>
  </si>
  <si>
    <t>MASCARA_ELEVACION</t>
  </si>
  <si>
    <t>LONGITUD_(O)_WGS-84</t>
  </si>
  <si>
    <t>NORTE_(N)_WGS-84</t>
  </si>
  <si>
    <t>ESTE_(E)_WGS-84</t>
  </si>
  <si>
    <t>ALTURA_ELIPSOIDAL_(M)</t>
  </si>
  <si>
    <t>DESCRIPCION_MONUMENTACION</t>
  </si>
  <si>
    <t>COD_PUNTO _GEODESICO</t>
  </si>
  <si>
    <t>INTERVALO_SEG</t>
  </si>
  <si>
    <t>P_REFERENCIA_EN_LA_ANTENA</t>
  </si>
  <si>
    <t>LATITUD_(S)_WGS-84</t>
  </si>
  <si>
    <t>08:15</t>
  </si>
  <si>
    <t>01:23</t>
  </si>
  <si>
    <t>Proyecto 1</t>
  </si>
  <si>
    <t>Av. SiempreViva</t>
  </si>
  <si>
    <t>iqgespatial@gmail.com</t>
  </si>
  <si>
    <t>DATOS DE LA PERSONA SOLICITANTE</t>
  </si>
  <si>
    <t>10 de agosto del 2025</t>
  </si>
  <si>
    <t>10°</t>
  </si>
  <si>
    <t>IQ GeoSpatial Technology</t>
  </si>
  <si>
    <t xml:space="preserve">Sigenos: </t>
  </si>
  <si>
    <t>Somos IQ GeoSpatial Technology, una startup dedicada a la innovación geoespacial. Diseñamos soluciones inteligentes que transforman datos territoriales en tecnología aplicable a escala local y global</t>
  </si>
  <si>
    <t>Teledetección</t>
  </si>
  <si>
    <t>Sistemas de Información Geográfica</t>
  </si>
  <si>
    <t>Desarrollo de Herramientas</t>
  </si>
  <si>
    <t>La Merced</t>
  </si>
  <si>
    <t>Chanchamayo</t>
  </si>
  <si>
    <t>Junín</t>
  </si>
  <si>
    <t>10 de julio del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</si>
</sst>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28"/>
      <color theme="1"/>
      <name val="Bahnschrift SemiBold Condensed"/>
      <family val="2"/>
    </font>
    <font>
      <b/>
      <sz val="16"/>
      <color theme="1"/>
      <name val="Bahnschrift SemiBold"/>
      <family val="2"/>
    </font>
    <font>
      <sz val="12"/>
      <color theme="1"/>
      <name val="Bahnschrift SemiBold"/>
      <family val="2"/>
    </font>
    <font>
      <sz val="18"/>
      <color theme="1"/>
      <name val="Bahnschrift SemiBold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rgb="FF00B0F0"/>
        </stop>
      </gradientFill>
    </fill>
    <fill>
      <gradientFill degree="180">
        <stop position="0">
          <color theme="0"/>
        </stop>
        <stop position="1">
          <color rgb="FF22B025"/>
        </stop>
      </gradientFill>
    </fill>
    <fill>
      <gradientFill>
        <stop position="0">
          <color theme="0"/>
        </stop>
        <stop position="0.5">
          <color rgb="FF00B0F0"/>
        </stop>
        <stop position="1">
          <color theme="0"/>
        </stop>
      </gradientFill>
    </fill>
    <fill>
      <gradientFill>
        <stop position="0">
          <color theme="0"/>
        </stop>
        <stop position="1">
          <color rgb="FF6375CF"/>
        </stop>
      </gradient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0" fillId="2" borderId="0" xfId="0" applyFill="1"/>
    <xf numFmtId="0" fontId="3" fillId="0" borderId="1" xfId="0" applyFont="1" applyBorder="1" applyAlignment="1">
      <alignment horizontal="left"/>
    </xf>
    <xf numFmtId="49" fontId="0" fillId="0" borderId="0" xfId="0" applyNumberFormat="1"/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0" fontId="3" fillId="2" borderId="1" xfId="0" applyFont="1" applyFill="1" applyBorder="1"/>
    <xf numFmtId="164" fontId="3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7" fillId="8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8" borderId="3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0" borderId="2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375CF"/>
      <color rgb="FF22B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IQGEOSPATIALTECHNOLOGY" TargetMode="External"/><Relationship Id="rId13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hyperlink" Target="https://tiktok.com/@iq.geospatial" TargetMode="External"/><Relationship Id="rId2" Type="http://schemas.openxmlformats.org/officeDocument/2006/relationships/hyperlink" Target="https://www.facebook.com/share/16sHytUGPq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instagram.com/iqgeospatial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hyperlink" Target="https://iqgeospatialtechnology.netlify.app/" TargetMode="External"/><Relationship Id="rId4" Type="http://schemas.openxmlformats.org/officeDocument/2006/relationships/hyperlink" Target="https://wa.me/51900102921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123825</xdr:rowOff>
    </xdr:from>
    <xdr:to>
      <xdr:col>10</xdr:col>
      <xdr:colOff>335499</xdr:colOff>
      <xdr:row>5</xdr:row>
      <xdr:rowOff>66674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7344D1-4CBA-D5FC-8BF2-F4BD8F9122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07" t="16876" r="18611" b="34374"/>
        <a:stretch>
          <a:fillRect/>
        </a:stretch>
      </xdr:blipFill>
      <xdr:spPr>
        <a:xfrm>
          <a:off x="4295775" y="123825"/>
          <a:ext cx="3659724" cy="1895474"/>
        </a:xfrm>
        <a:prstGeom prst="rect">
          <a:avLst/>
        </a:prstGeom>
      </xdr:spPr>
    </xdr:pic>
    <xdr:clientData/>
  </xdr:twoCellAnchor>
  <xdr:twoCellAnchor>
    <xdr:from>
      <xdr:col>5</xdr:col>
      <xdr:colOff>695325</xdr:colOff>
      <xdr:row>10</xdr:row>
      <xdr:rowOff>19050</xdr:rowOff>
    </xdr:from>
    <xdr:to>
      <xdr:col>7</xdr:col>
      <xdr:colOff>28575</xdr:colOff>
      <xdr:row>14</xdr:row>
      <xdr:rowOff>123825</xdr:rowOff>
    </xdr:to>
    <xdr:sp macro="" textlink="">
      <xdr:nvSpPr>
        <xdr:cNvPr id="16" name="Elips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0F3EA6-FAE5-69B7-B83E-2580AA3472F1}"/>
            </a:ext>
          </a:extLst>
        </xdr:cNvPr>
        <xdr:cNvSpPr/>
      </xdr:nvSpPr>
      <xdr:spPr>
        <a:xfrm>
          <a:off x="4505325" y="2981325"/>
          <a:ext cx="857250" cy="866775"/>
        </a:xfrm>
        <a:prstGeom prst="ellipse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657225</xdr:colOff>
      <xdr:row>10</xdr:row>
      <xdr:rowOff>28575</xdr:rowOff>
    </xdr:from>
    <xdr:to>
      <xdr:col>8</xdr:col>
      <xdr:colOff>752475</xdr:colOff>
      <xdr:row>14</xdr:row>
      <xdr:rowOff>133350</xdr:rowOff>
    </xdr:to>
    <xdr:sp macro="" textlink="">
      <xdr:nvSpPr>
        <xdr:cNvPr id="17" name="Elipse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B8C810-DF4F-43A6-ACAF-3969D797BFC6}"/>
            </a:ext>
          </a:extLst>
        </xdr:cNvPr>
        <xdr:cNvSpPr/>
      </xdr:nvSpPr>
      <xdr:spPr>
        <a:xfrm>
          <a:off x="5991225" y="2990850"/>
          <a:ext cx="857250" cy="866775"/>
        </a:xfrm>
        <a:prstGeom prst="ellipse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695325</xdr:colOff>
      <xdr:row>16</xdr:row>
      <xdr:rowOff>9525</xdr:rowOff>
    </xdr:from>
    <xdr:to>
      <xdr:col>7</xdr:col>
      <xdr:colOff>28575</xdr:colOff>
      <xdr:row>20</xdr:row>
      <xdr:rowOff>114300</xdr:rowOff>
    </xdr:to>
    <xdr:sp macro="" textlink="">
      <xdr:nvSpPr>
        <xdr:cNvPr id="18" name="Elipse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243AAF-3F40-4CD2-BDA5-C320AA6A3F6E}"/>
            </a:ext>
          </a:extLst>
        </xdr:cNvPr>
        <xdr:cNvSpPr/>
      </xdr:nvSpPr>
      <xdr:spPr>
        <a:xfrm>
          <a:off x="4505325" y="4114800"/>
          <a:ext cx="857250" cy="866775"/>
        </a:xfrm>
        <a:prstGeom prst="ellipse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685800</xdr:colOff>
      <xdr:row>16</xdr:row>
      <xdr:rowOff>19050</xdr:rowOff>
    </xdr:from>
    <xdr:to>
      <xdr:col>9</xdr:col>
      <xdr:colOff>19050</xdr:colOff>
      <xdr:row>20</xdr:row>
      <xdr:rowOff>123825</xdr:rowOff>
    </xdr:to>
    <xdr:sp macro="" textlink="">
      <xdr:nvSpPr>
        <xdr:cNvPr id="19" name="Elips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2879D80-78EE-4E48-851F-20741092DA45}"/>
            </a:ext>
          </a:extLst>
        </xdr:cNvPr>
        <xdr:cNvSpPr/>
      </xdr:nvSpPr>
      <xdr:spPr>
        <a:xfrm>
          <a:off x="6019800" y="4124325"/>
          <a:ext cx="857250" cy="866775"/>
        </a:xfrm>
        <a:prstGeom prst="ellipse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10</xdr:col>
      <xdr:colOff>0</xdr:colOff>
      <xdr:row>16</xdr:row>
      <xdr:rowOff>19050</xdr:rowOff>
    </xdr:from>
    <xdr:to>
      <xdr:col>11</xdr:col>
      <xdr:colOff>95250</xdr:colOff>
      <xdr:row>20</xdr:row>
      <xdr:rowOff>123825</xdr:rowOff>
    </xdr:to>
    <xdr:sp macro="" textlink="">
      <xdr:nvSpPr>
        <xdr:cNvPr id="20" name="Elipse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409C95A-352A-4F88-8025-0F5A599027F6}"/>
            </a:ext>
          </a:extLst>
        </xdr:cNvPr>
        <xdr:cNvSpPr/>
      </xdr:nvSpPr>
      <xdr:spPr>
        <a:xfrm>
          <a:off x="7620000" y="4124325"/>
          <a:ext cx="857250" cy="866775"/>
        </a:xfrm>
        <a:prstGeom prst="ellipse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714375</xdr:colOff>
      <xdr:row>10</xdr:row>
      <xdr:rowOff>9525</xdr:rowOff>
    </xdr:from>
    <xdr:to>
      <xdr:col>11</xdr:col>
      <xdr:colOff>47625</xdr:colOff>
      <xdr:row>14</xdr:row>
      <xdr:rowOff>114300</xdr:rowOff>
    </xdr:to>
    <xdr:sp macro="" textlink="">
      <xdr:nvSpPr>
        <xdr:cNvPr id="21" name="Elipse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6FE449F-B973-47BF-A359-9D1733483CA8}"/>
            </a:ext>
          </a:extLst>
        </xdr:cNvPr>
        <xdr:cNvSpPr/>
      </xdr:nvSpPr>
      <xdr:spPr>
        <a:xfrm>
          <a:off x="7572375" y="2971800"/>
          <a:ext cx="857250" cy="866775"/>
        </a:xfrm>
        <a:prstGeom prst="ellipse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qgespatial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37BC-D860-4EE7-83E2-2CC9A7E9E4AF}">
  <sheetPr codeName="Hoja1">
    <tabColor theme="7" tint="0.59999389629810485"/>
  </sheetPr>
  <dimension ref="A1:B30"/>
  <sheetViews>
    <sheetView showGridLines="0" workbookViewId="0">
      <selection activeCell="D22" sqref="D22"/>
    </sheetView>
  </sheetViews>
  <sheetFormatPr baseColWidth="10" defaultRowHeight="15" x14ac:dyDescent="0.25"/>
  <cols>
    <col min="1" max="1" width="28.85546875" customWidth="1"/>
    <col min="2" max="2" width="41" customWidth="1"/>
  </cols>
  <sheetData>
    <row r="1" spans="1:2" ht="24.75" customHeight="1" x14ac:dyDescent="0.25">
      <c r="A1" s="24" t="s">
        <v>56</v>
      </c>
      <c r="B1" s="24"/>
    </row>
    <row r="2" spans="1:2" x14ac:dyDescent="0.25">
      <c r="A2" s="26" t="s">
        <v>29</v>
      </c>
      <c r="B2" s="28" t="s">
        <v>59</v>
      </c>
    </row>
    <row r="3" spans="1:2" x14ac:dyDescent="0.25">
      <c r="A3" s="26" t="s">
        <v>0</v>
      </c>
      <c r="B3" s="28">
        <v>76543210</v>
      </c>
    </row>
    <row r="4" spans="1:2" x14ac:dyDescent="0.25">
      <c r="A4" s="26" t="s">
        <v>1</v>
      </c>
      <c r="B4" s="28" t="s">
        <v>54</v>
      </c>
    </row>
    <row r="5" spans="1:2" x14ac:dyDescent="0.25">
      <c r="A5" s="26" t="s">
        <v>2</v>
      </c>
      <c r="B5" s="28">
        <v>987654321</v>
      </c>
    </row>
    <row r="6" spans="1:2" x14ac:dyDescent="0.25">
      <c r="A6" s="26" t="s">
        <v>30</v>
      </c>
      <c r="B6" s="29" t="s">
        <v>55</v>
      </c>
    </row>
    <row r="7" spans="1:2" ht="21.75" customHeight="1" x14ac:dyDescent="0.25">
      <c r="A7" s="24" t="s">
        <v>3</v>
      </c>
      <c r="B7" s="24"/>
    </row>
    <row r="8" spans="1:2" x14ac:dyDescent="0.25">
      <c r="A8" s="26" t="s">
        <v>4</v>
      </c>
      <c r="B8" s="28" t="s">
        <v>14</v>
      </c>
    </row>
    <row r="9" spans="1:2" x14ac:dyDescent="0.25">
      <c r="A9" s="26" t="s">
        <v>5</v>
      </c>
      <c r="B9" s="28" t="s">
        <v>15</v>
      </c>
    </row>
    <row r="10" spans="1:2" x14ac:dyDescent="0.25">
      <c r="A10" s="26" t="s">
        <v>6</v>
      </c>
      <c r="B10" s="28" t="s">
        <v>16</v>
      </c>
    </row>
    <row r="11" spans="1:2" x14ac:dyDescent="0.25">
      <c r="A11" s="26" t="s">
        <v>7</v>
      </c>
      <c r="B11" s="28" t="s">
        <v>14</v>
      </c>
    </row>
    <row r="12" spans="1:2" x14ac:dyDescent="0.25">
      <c r="A12" s="26" t="s">
        <v>8</v>
      </c>
      <c r="B12" s="28" t="s">
        <v>17</v>
      </c>
    </row>
    <row r="13" spans="1:2" x14ac:dyDescent="0.25">
      <c r="A13" s="26" t="s">
        <v>9</v>
      </c>
      <c r="B13" s="28" t="s">
        <v>16</v>
      </c>
    </row>
    <row r="14" spans="1:2" ht="21" customHeight="1" x14ac:dyDescent="0.25">
      <c r="A14" s="24" t="s">
        <v>12</v>
      </c>
      <c r="B14" s="24"/>
    </row>
    <row r="15" spans="1:2" x14ac:dyDescent="0.25">
      <c r="A15" s="26" t="s">
        <v>10</v>
      </c>
      <c r="B15" s="28" t="s">
        <v>18</v>
      </c>
    </row>
    <row r="16" spans="1:2" x14ac:dyDescent="0.25">
      <c r="A16" s="26" t="s">
        <v>11</v>
      </c>
      <c r="B16" s="28">
        <v>2</v>
      </c>
    </row>
    <row r="17" spans="1:2" ht="22.5" customHeight="1" x14ac:dyDescent="0.25">
      <c r="A17" s="25" t="s">
        <v>13</v>
      </c>
      <c r="B17" s="25"/>
    </row>
    <row r="18" spans="1:2" x14ac:dyDescent="0.25">
      <c r="A18" s="26" t="s">
        <v>31</v>
      </c>
      <c r="B18" s="28">
        <v>1000701</v>
      </c>
    </row>
    <row r="19" spans="1:2" x14ac:dyDescent="0.25">
      <c r="A19" s="26" t="s">
        <v>32</v>
      </c>
      <c r="B19" s="28">
        <v>1000702</v>
      </c>
    </row>
    <row r="20" spans="1:2" x14ac:dyDescent="0.25">
      <c r="A20" s="26" t="s">
        <v>33</v>
      </c>
      <c r="B20" s="28">
        <v>1000703</v>
      </c>
    </row>
    <row r="21" spans="1:2" x14ac:dyDescent="0.25">
      <c r="A21" s="26"/>
      <c r="B21" s="28"/>
    </row>
    <row r="22" spans="1:2" x14ac:dyDescent="0.25">
      <c r="A22" s="26"/>
      <c r="B22" s="28"/>
    </row>
    <row r="23" spans="1:2" x14ac:dyDescent="0.25">
      <c r="A23" s="26"/>
      <c r="B23" s="28"/>
    </row>
    <row r="24" spans="1:2" x14ac:dyDescent="0.25">
      <c r="A24" s="26"/>
      <c r="B24" s="28"/>
    </row>
    <row r="25" spans="1:2" x14ac:dyDescent="0.25">
      <c r="A25" s="27"/>
      <c r="B25" s="28"/>
    </row>
    <row r="26" spans="1:2" x14ac:dyDescent="0.25">
      <c r="A26" s="27"/>
      <c r="B26" s="28"/>
    </row>
    <row r="27" spans="1:2" x14ac:dyDescent="0.25">
      <c r="A27" s="27"/>
      <c r="B27" s="28"/>
    </row>
    <row r="28" spans="1:2" x14ac:dyDescent="0.25">
      <c r="A28" s="27"/>
      <c r="B28" s="28"/>
    </row>
    <row r="29" spans="1:2" x14ac:dyDescent="0.25">
      <c r="A29" s="27"/>
      <c r="B29" s="28"/>
    </row>
    <row r="30" spans="1:2" x14ac:dyDescent="0.25">
      <c r="A30" s="27"/>
      <c r="B30" s="28"/>
    </row>
  </sheetData>
  <mergeCells count="4">
    <mergeCell ref="A1:B1"/>
    <mergeCell ref="A7:B7"/>
    <mergeCell ref="A14:B14"/>
    <mergeCell ref="A17:B17"/>
  </mergeCells>
  <phoneticPr fontId="4" type="noConversion"/>
  <hyperlinks>
    <hyperlink ref="B6" r:id="rId1" xr:uid="{3C4BC1E1-FDFF-4D4A-90C9-4EEA190EF22C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8F49-ADFF-4B9B-9738-0938DDCED4D3}">
  <sheetPr>
    <tabColor theme="8" tint="0.39997558519241921"/>
  </sheetPr>
  <dimension ref="A1:B22"/>
  <sheetViews>
    <sheetView showGridLines="0" workbookViewId="0">
      <selection activeCell="B7" sqref="B7"/>
    </sheetView>
  </sheetViews>
  <sheetFormatPr baseColWidth="10" defaultRowHeight="15" x14ac:dyDescent="0.25"/>
  <cols>
    <col min="1" max="1" width="27" customWidth="1"/>
    <col min="2" max="2" width="35.140625" customWidth="1"/>
  </cols>
  <sheetData>
    <row r="1" spans="1:2" ht="23.25" customHeight="1" x14ac:dyDescent="0.25">
      <c r="A1" s="25" t="s">
        <v>24</v>
      </c>
      <c r="B1" s="25"/>
    </row>
    <row r="2" spans="1:2" x14ac:dyDescent="0.25">
      <c r="A2" s="30" t="s">
        <v>29</v>
      </c>
      <c r="B2" s="33" t="str">
        <f>'FORMULARIO 001'!B2</f>
        <v>IQ GeoSpatial Technology</v>
      </c>
    </row>
    <row r="3" spans="1:2" x14ac:dyDescent="0.25">
      <c r="A3" s="31" t="s">
        <v>0</v>
      </c>
      <c r="B3" s="14">
        <f>'FORMULARIO 001'!B3</f>
        <v>76543210</v>
      </c>
    </row>
    <row r="4" spans="1:2" x14ac:dyDescent="0.25">
      <c r="A4" s="31" t="s">
        <v>19</v>
      </c>
      <c r="B4" s="14" t="str">
        <f>'FORMULARIO 001'!B4</f>
        <v>Av. SiempreViva</v>
      </c>
    </row>
    <row r="5" spans="1:2" x14ac:dyDescent="0.25">
      <c r="A5" s="31" t="s">
        <v>20</v>
      </c>
      <c r="B5" s="14" t="s">
        <v>65</v>
      </c>
    </row>
    <row r="6" spans="1:2" x14ac:dyDescent="0.25">
      <c r="A6" s="31" t="s">
        <v>21</v>
      </c>
      <c r="B6" s="14" t="s">
        <v>66</v>
      </c>
    </row>
    <row r="7" spans="1:2" x14ac:dyDescent="0.25">
      <c r="A7" s="31" t="s">
        <v>22</v>
      </c>
      <c r="B7" s="14" t="s">
        <v>67</v>
      </c>
    </row>
    <row r="8" spans="1:2" ht="21" customHeight="1" x14ac:dyDescent="0.25">
      <c r="A8" s="31" t="s">
        <v>23</v>
      </c>
      <c r="B8" s="34" t="s">
        <v>57</v>
      </c>
    </row>
    <row r="9" spans="1:2" ht="21" customHeight="1" x14ac:dyDescent="0.25">
      <c r="A9" s="24" t="s">
        <v>25</v>
      </c>
      <c r="B9" s="24"/>
    </row>
    <row r="10" spans="1:2" x14ac:dyDescent="0.25">
      <c r="A10" s="32" t="str">
        <f>IF('FORMULARIO 001'!A18&lt;&gt;"",'FORMULARIO 001'!A18,"")</f>
        <v>PUNTO_1</v>
      </c>
      <c r="B10" s="35">
        <f>IF('FORMULARIO 001'!B18&gt;=1,'FORMULARIO 001'!B18,"")</f>
        <v>1000701</v>
      </c>
    </row>
    <row r="11" spans="1:2" x14ac:dyDescent="0.25">
      <c r="A11" s="32" t="str">
        <f>IF('FORMULARIO 001'!A19&lt;&gt;"",'FORMULARIO 001'!A19,"")</f>
        <v>PUNTO_2</v>
      </c>
      <c r="B11" s="35">
        <f>IF('FORMULARIO 001'!B19&gt;=1,'FORMULARIO 001'!B19,"")</f>
        <v>1000702</v>
      </c>
    </row>
    <row r="12" spans="1:2" x14ac:dyDescent="0.25">
      <c r="A12" s="32" t="str">
        <f>IF('FORMULARIO 001'!A20&lt;&gt;"",'FORMULARIO 001'!A20,"")</f>
        <v>PUNTO_3</v>
      </c>
      <c r="B12" s="35">
        <f>IF('FORMULARIO 001'!B20&gt;=1,'FORMULARIO 001'!B20,"")</f>
        <v>1000703</v>
      </c>
    </row>
    <row r="13" spans="1:2" x14ac:dyDescent="0.25">
      <c r="A13" s="32" t="str">
        <f>IF('FORMULARIO 001'!A21&lt;&gt;"",'FORMULARIO 001'!A21,"")</f>
        <v/>
      </c>
      <c r="B13" s="35" t="str">
        <f>IF('FORMULARIO 001'!B21&gt;=1,'FORMULARIO 001'!B21,"")</f>
        <v/>
      </c>
    </row>
    <row r="14" spans="1:2" x14ac:dyDescent="0.25">
      <c r="A14" s="32" t="str">
        <f>IF('FORMULARIO 001'!A22&lt;&gt;"",'FORMULARIO 001'!A22,"")</f>
        <v/>
      </c>
      <c r="B14" s="35" t="str">
        <f>IF('FORMULARIO 001'!B22&gt;=1,'FORMULARIO 001'!B22,"")</f>
        <v/>
      </c>
    </row>
    <row r="15" spans="1:2" x14ac:dyDescent="0.25">
      <c r="A15" s="32" t="str">
        <f>IF('FORMULARIO 001'!A23&lt;&gt;"",'FORMULARIO 001'!A23,"")</f>
        <v/>
      </c>
      <c r="B15" s="35" t="str">
        <f>IF('FORMULARIO 001'!B23&gt;=1,'FORMULARIO 001'!B23,"")</f>
        <v/>
      </c>
    </row>
    <row r="16" spans="1:2" x14ac:dyDescent="0.25">
      <c r="A16" s="26" t="str">
        <f>IF('FORMULARIO 001'!A24&lt;&gt;"",'FORMULARIO 001'!A24,"")</f>
        <v/>
      </c>
      <c r="B16" s="35" t="str">
        <f>IF('FORMULARIO 001'!B24&gt;=1,'FORMULARIO 001'!B24,"")</f>
        <v/>
      </c>
    </row>
    <row r="17" spans="1:2" x14ac:dyDescent="0.25">
      <c r="A17" s="26" t="str">
        <f>IF('FORMULARIO 001'!A25&lt;&gt;"",'FORMULARIO 001'!A25,"")</f>
        <v/>
      </c>
      <c r="B17" s="35" t="str">
        <f>IF('FORMULARIO 001'!B25&gt;=1,'FORMULARIO 001'!B25,"")</f>
        <v/>
      </c>
    </row>
    <row r="18" spans="1:2" x14ac:dyDescent="0.25">
      <c r="A18" s="26" t="str">
        <f>IF('FORMULARIO 001'!A26&lt;&gt;"",'FORMULARIO 001'!A26,"")</f>
        <v/>
      </c>
      <c r="B18" s="35" t="str">
        <f>IF('FORMULARIO 001'!B26&gt;=1,'FORMULARIO 001'!B26,"")</f>
        <v/>
      </c>
    </row>
    <row r="19" spans="1:2" x14ac:dyDescent="0.25">
      <c r="A19" s="26" t="str">
        <f>IF('FORMULARIO 001'!A27&lt;&gt;"",'FORMULARIO 001'!A27,"")</f>
        <v/>
      </c>
      <c r="B19" s="35" t="str">
        <f>IF('FORMULARIO 001'!B27&gt;=1,'FORMULARIO 001'!B27,"")</f>
        <v/>
      </c>
    </row>
    <row r="20" spans="1:2" x14ac:dyDescent="0.25">
      <c r="A20" s="26" t="str">
        <f>IF('FORMULARIO 001'!A28&lt;&gt;"",'FORMULARIO 001'!A28,"")</f>
        <v/>
      </c>
      <c r="B20" s="35" t="str">
        <f>IF('FORMULARIO 001'!B28&gt;=1,'FORMULARIO 001'!B28,"")</f>
        <v/>
      </c>
    </row>
    <row r="21" spans="1:2" x14ac:dyDescent="0.25">
      <c r="A21" s="26" t="str">
        <f>IF('FORMULARIO 001'!A29&lt;&gt;"",'FORMULARIO 001'!A29,"")</f>
        <v/>
      </c>
      <c r="B21" s="35" t="str">
        <f>IF('FORMULARIO 001'!B29&gt;=1,'FORMULARIO 001'!B29,"")</f>
        <v/>
      </c>
    </row>
    <row r="22" spans="1:2" x14ac:dyDescent="0.25">
      <c r="A22" s="26" t="str">
        <f>IF('FORMULARIO 001'!A30&lt;&gt;"",'FORMULARIO 001'!A30,"")</f>
        <v/>
      </c>
      <c r="B22" s="35" t="str">
        <f>IF('FORMULARIO 001'!B30&gt;=1,'FORMULARIO 001'!B30,"")</f>
        <v/>
      </c>
    </row>
  </sheetData>
  <mergeCells count="2">
    <mergeCell ref="A1:B1"/>
    <mergeCell ref="A9:B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95A3-7A70-4BD5-9909-E4A8504D30DF}">
  <sheetPr>
    <tabColor theme="5" tint="0.39997558519241921"/>
  </sheetPr>
  <dimension ref="A1:T25"/>
  <sheetViews>
    <sheetView showGridLines="0" tabSelected="1" zoomScaleNormal="100" workbookViewId="0">
      <selection activeCell="E17" sqref="E17"/>
    </sheetView>
  </sheetViews>
  <sheetFormatPr baseColWidth="10" defaultRowHeight="15" x14ac:dyDescent="0.25"/>
  <cols>
    <col min="1" max="1" width="40.85546875" customWidth="1"/>
    <col min="2" max="2" width="26.140625" customWidth="1"/>
    <col min="3" max="3" width="27" customWidth="1"/>
    <col min="4" max="4" width="26.5703125" customWidth="1"/>
    <col min="5" max="5" width="26.28515625" customWidth="1"/>
    <col min="6" max="9" width="24.7109375" customWidth="1"/>
    <col min="10" max="14" width="24.42578125" customWidth="1"/>
    <col min="15" max="21" width="33.140625" customWidth="1"/>
  </cols>
  <sheetData>
    <row r="1" spans="1:20" ht="37.5" customHeight="1" x14ac:dyDescent="0.25">
      <c r="A1" s="25" t="s">
        <v>28</v>
      </c>
      <c r="B1" s="25"/>
      <c r="C1" s="25"/>
      <c r="D1" s="25"/>
      <c r="E1" s="25"/>
      <c r="F1" s="25"/>
      <c r="G1" s="25"/>
    </row>
    <row r="2" spans="1:20" s="3" customFormat="1" ht="31.5" customHeight="1" x14ac:dyDescent="0.25">
      <c r="A2" s="36" t="s">
        <v>34</v>
      </c>
      <c r="B2" s="44" t="s">
        <v>53</v>
      </c>
      <c r="C2" s="44"/>
      <c r="D2" s="44"/>
      <c r="E2" s="44"/>
      <c r="F2" s="44"/>
      <c r="G2" s="44"/>
      <c r="H2" s="15"/>
      <c r="I2" s="15"/>
      <c r="J2" s="15"/>
      <c r="K2" s="15"/>
      <c r="L2" s="15"/>
      <c r="M2" s="15"/>
      <c r="N2" s="15"/>
    </row>
    <row r="3" spans="1:20" s="3" customFormat="1" ht="24.75" customHeight="1" x14ac:dyDescent="0.25">
      <c r="A3" s="37" t="s">
        <v>35</v>
      </c>
      <c r="B3" s="43" t="str">
        <f>'FORMULARIO 001'!B2</f>
        <v>IQ GeoSpatial Technology</v>
      </c>
      <c r="C3" s="16"/>
      <c r="D3" s="16"/>
      <c r="E3" s="16"/>
      <c r="F3" s="16"/>
      <c r="G3" s="16"/>
      <c r="H3" s="15"/>
      <c r="I3" s="15"/>
      <c r="J3" s="15"/>
      <c r="K3" s="15"/>
      <c r="L3" s="15"/>
      <c r="M3" s="15"/>
      <c r="N3" s="15"/>
    </row>
    <row r="4" spans="1:20" s="3" customFormat="1" ht="17.25" customHeight="1" x14ac:dyDescent="0.25">
      <c r="A4" s="37" t="s">
        <v>4</v>
      </c>
      <c r="B4" s="1" t="str">
        <f>'FORMULARIO 001'!B8</f>
        <v>GNSS</v>
      </c>
      <c r="C4" s="17"/>
      <c r="D4" s="17"/>
      <c r="E4" s="17"/>
      <c r="F4" s="17"/>
      <c r="G4" s="17"/>
      <c r="H4" s="15"/>
      <c r="I4" s="15"/>
      <c r="J4" s="15"/>
      <c r="K4" s="15"/>
      <c r="L4" s="15"/>
      <c r="M4" s="15"/>
      <c r="N4" s="15"/>
    </row>
    <row r="5" spans="1:20" s="3" customFormat="1" ht="21" customHeight="1" x14ac:dyDescent="0.25">
      <c r="A5" s="37" t="s">
        <v>5</v>
      </c>
      <c r="B5" s="1" t="str">
        <f>'FORMULARIO 001'!B9</f>
        <v>MODELO_X</v>
      </c>
      <c r="C5" s="17"/>
      <c r="D5" s="17"/>
      <c r="E5" s="17"/>
      <c r="F5" s="17"/>
      <c r="G5" s="17"/>
      <c r="H5" s="15"/>
      <c r="I5" s="15"/>
      <c r="J5" s="15"/>
      <c r="K5" s="15"/>
      <c r="L5" s="15"/>
      <c r="M5" s="15"/>
      <c r="N5" s="15"/>
    </row>
    <row r="6" spans="1:20" s="3" customFormat="1" ht="21" customHeight="1" x14ac:dyDescent="0.25">
      <c r="A6" s="37" t="s">
        <v>6</v>
      </c>
      <c r="B6" s="1" t="str">
        <f>'FORMULARIO 001'!B10</f>
        <v>SOUTH</v>
      </c>
      <c r="C6" s="17"/>
      <c r="D6" s="17"/>
      <c r="E6" s="17"/>
      <c r="F6" s="17"/>
      <c r="G6" s="17"/>
      <c r="H6" s="15"/>
      <c r="I6" s="15"/>
      <c r="J6" s="15"/>
      <c r="K6" s="15"/>
      <c r="L6" s="15"/>
      <c r="M6" s="15"/>
      <c r="N6" s="15"/>
    </row>
    <row r="7" spans="1:20" s="3" customFormat="1" ht="21" customHeight="1" x14ac:dyDescent="0.25">
      <c r="A7" s="37" t="s">
        <v>7</v>
      </c>
      <c r="B7" s="1" t="str">
        <f>'FORMULARIO 001'!B11</f>
        <v>GNSS</v>
      </c>
      <c r="C7" s="17"/>
      <c r="D7" s="17"/>
      <c r="E7" s="17"/>
      <c r="F7" s="17"/>
      <c r="G7" s="17"/>
      <c r="H7" s="15"/>
      <c r="I7" s="15"/>
      <c r="J7" s="15"/>
      <c r="K7" s="15"/>
      <c r="L7" s="15"/>
      <c r="M7" s="15"/>
      <c r="N7" s="15"/>
    </row>
    <row r="8" spans="1:20" s="3" customFormat="1" ht="21" customHeight="1" x14ac:dyDescent="0.25">
      <c r="A8" s="37" t="s">
        <v>8</v>
      </c>
      <c r="B8" s="1" t="str">
        <f>'FORMULARIO 001'!B12</f>
        <v>ANT_200</v>
      </c>
      <c r="C8" s="17"/>
      <c r="D8" s="17"/>
      <c r="E8" s="17"/>
      <c r="F8" s="17"/>
      <c r="G8" s="17"/>
      <c r="H8" s="15"/>
      <c r="I8" s="15"/>
      <c r="J8" s="15"/>
      <c r="K8" s="15"/>
      <c r="L8" s="15"/>
      <c r="M8" s="15"/>
      <c r="N8" s="15"/>
    </row>
    <row r="9" spans="1:20" s="3" customFormat="1" ht="21" customHeight="1" x14ac:dyDescent="0.25">
      <c r="A9" s="37" t="s">
        <v>9</v>
      </c>
      <c r="B9" s="38" t="str">
        <f>'FORMULARIO 001'!B13</f>
        <v>SOUTH</v>
      </c>
      <c r="C9" s="17"/>
      <c r="D9" s="17"/>
      <c r="E9" s="17"/>
      <c r="F9" s="17"/>
      <c r="G9" s="17"/>
      <c r="H9" s="15"/>
      <c r="I9" s="15"/>
      <c r="J9" s="15"/>
      <c r="K9" s="15"/>
      <c r="L9" s="15"/>
      <c r="M9" s="15"/>
      <c r="N9" s="15"/>
    </row>
    <row r="10" spans="1:20" s="3" customFormat="1" ht="24.75" customHeight="1" x14ac:dyDescent="0.25">
      <c r="A10" s="31" t="s">
        <v>49</v>
      </c>
      <c r="B10" s="2" t="s">
        <v>26</v>
      </c>
      <c r="C10" s="2" t="s">
        <v>26</v>
      </c>
      <c r="D10" s="2" t="s">
        <v>26</v>
      </c>
      <c r="E10" s="40"/>
      <c r="F10" s="40"/>
      <c r="G10" s="40"/>
      <c r="H10" s="10"/>
      <c r="I10" s="10"/>
      <c r="J10" s="10"/>
      <c r="K10" s="10"/>
      <c r="L10" s="10"/>
      <c r="M10" s="10"/>
      <c r="N10" s="10"/>
    </row>
    <row r="11" spans="1:20" s="3" customFormat="1" ht="21" customHeight="1" x14ac:dyDescent="0.25">
      <c r="A11" s="37" t="s">
        <v>36</v>
      </c>
      <c r="B11" s="1" t="s">
        <v>26</v>
      </c>
      <c r="C11" s="1" t="s">
        <v>26</v>
      </c>
      <c r="D11" s="1" t="s">
        <v>26</v>
      </c>
      <c r="E11" s="41"/>
      <c r="F11" s="41"/>
      <c r="G11" s="41"/>
      <c r="H11" s="10"/>
      <c r="I11" s="10"/>
      <c r="J11" s="10"/>
      <c r="K11" s="10"/>
      <c r="L11" s="10"/>
      <c r="M11" s="10"/>
      <c r="N11" s="10"/>
    </row>
    <row r="12" spans="1:20" s="3" customFormat="1" ht="21" customHeight="1" x14ac:dyDescent="0.25">
      <c r="A12" s="37" t="s">
        <v>37</v>
      </c>
      <c r="B12" s="4">
        <v>1.8</v>
      </c>
      <c r="C12" s="4">
        <v>1.8</v>
      </c>
      <c r="D12" s="4">
        <v>1.8</v>
      </c>
      <c r="E12" s="41"/>
      <c r="F12" s="41"/>
      <c r="G12" s="41"/>
      <c r="H12" s="10"/>
      <c r="I12" s="10"/>
      <c r="J12" s="10"/>
      <c r="K12" s="10"/>
      <c r="L12" s="10"/>
      <c r="M12" s="10"/>
      <c r="N12" s="10"/>
    </row>
    <row r="13" spans="1:20" s="3" customFormat="1" ht="21" customHeight="1" x14ac:dyDescent="0.25">
      <c r="A13" s="37" t="s">
        <v>48</v>
      </c>
      <c r="B13" s="4">
        <v>5</v>
      </c>
      <c r="C13" s="4">
        <v>5</v>
      </c>
      <c r="D13" s="4">
        <v>5</v>
      </c>
      <c r="E13" s="41"/>
      <c r="F13" s="41"/>
      <c r="G13" s="41"/>
      <c r="H13" s="10"/>
      <c r="I13" s="10"/>
      <c r="J13" s="10"/>
      <c r="K13" s="10"/>
      <c r="L13" s="10"/>
      <c r="M13" s="10"/>
      <c r="N13" s="10"/>
    </row>
    <row r="14" spans="1:20" s="3" customFormat="1" ht="21" customHeight="1" x14ac:dyDescent="0.25">
      <c r="A14" s="37" t="s">
        <v>41</v>
      </c>
      <c r="B14" s="4" t="s">
        <v>58</v>
      </c>
      <c r="C14" s="4" t="s">
        <v>58</v>
      </c>
      <c r="D14" s="4" t="s">
        <v>58</v>
      </c>
      <c r="E14" s="42"/>
      <c r="F14" s="42"/>
      <c r="G14" s="42"/>
      <c r="H14" s="10"/>
      <c r="I14" s="10"/>
      <c r="J14" s="10"/>
      <c r="K14" s="10"/>
      <c r="L14" s="10"/>
      <c r="M14" s="10"/>
      <c r="N14" s="10"/>
    </row>
    <row r="15" spans="1:20" ht="19.5" customHeight="1" x14ac:dyDescent="0.25">
      <c r="A15" s="26" t="s">
        <v>47</v>
      </c>
      <c r="B15" s="6">
        <f>IF('FORMULARIO 001'!B18&gt;=1,'FORMULARIO 001'!B18,"")</f>
        <v>1000701</v>
      </c>
      <c r="C15" s="6">
        <f>IF('FORMULARIO 001'!B19&gt;=1,'FORMULARIO 001'!B19,"")</f>
        <v>1000702</v>
      </c>
      <c r="D15" s="6">
        <f>IF('FORMULARIO 001'!B20&gt;=1,'FORMULARIO 001'!B20,"")</f>
        <v>1000703</v>
      </c>
      <c r="E15" s="6" t="str">
        <f>IF('FORMULARIO 001'!B21&gt;=1,'FORMULARIO 001'!B21,"")</f>
        <v/>
      </c>
      <c r="F15" s="6" t="str">
        <f>IF('FORMULARIO 001'!B22&gt;=1,'FORMULARIO 001'!B22,"")</f>
        <v/>
      </c>
      <c r="G15" s="6" t="str">
        <f>IF('FORMULARIO 001'!B23&gt;=1,'FORMULARIO 001'!B23,"")</f>
        <v/>
      </c>
      <c r="H15" s="6" t="str">
        <f>IF('FORMULARIO 001'!B24&gt;=1,'FORMULARIO 001'!B24,"")</f>
        <v/>
      </c>
      <c r="I15" s="6" t="str">
        <f>IF('FORMULARIO 001'!B25&gt;=1,'FORMULARIO 001'!B25,"")</f>
        <v/>
      </c>
      <c r="J15" s="6" t="str">
        <f>IF('FORMULARIO 001'!B26&gt;=1,'FORMULARIO 001'!B26,"")</f>
        <v/>
      </c>
      <c r="K15" s="6" t="str">
        <f>IF('FORMULARIO 001'!B27&gt;=1,'FORMULARIO 001'!B27,"")</f>
        <v/>
      </c>
      <c r="L15" s="6" t="str">
        <f>IF('FORMULARIO 001'!B28&gt;=1,'FORMULARIO 001'!B28,"")</f>
        <v/>
      </c>
      <c r="M15" s="6" t="str">
        <f>IF('FORMULARIO 001'!B29&gt;=1,'FORMULARIO 001'!B29,"")</f>
        <v/>
      </c>
      <c r="N15" s="6" t="str">
        <f>IF('FORMULARIO 001'!B30&gt;=1,'FORMULARIO 001'!B30,"")</f>
        <v/>
      </c>
      <c r="O15" s="7"/>
      <c r="P15" s="7"/>
      <c r="Q15" s="7"/>
      <c r="R15" s="7"/>
    </row>
    <row r="16" spans="1:20" ht="19.5" customHeight="1" x14ac:dyDescent="0.25">
      <c r="A16" s="26" t="s">
        <v>38</v>
      </c>
      <c r="B16" s="8" t="s">
        <v>68</v>
      </c>
      <c r="C16" s="8" t="s">
        <v>68</v>
      </c>
      <c r="D16" s="8" t="s">
        <v>68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5"/>
      <c r="Q16" s="5"/>
      <c r="R16" s="5"/>
      <c r="S16" s="5"/>
      <c r="T16" s="5"/>
    </row>
    <row r="17" spans="1:15" ht="19.5" customHeight="1" x14ac:dyDescent="0.25">
      <c r="A17" s="26" t="s">
        <v>39</v>
      </c>
      <c r="B17" s="8" t="s">
        <v>51</v>
      </c>
      <c r="C17" s="8" t="s">
        <v>51</v>
      </c>
      <c r="D17" s="8" t="s">
        <v>51</v>
      </c>
      <c r="E17" s="8"/>
      <c r="F17" s="8"/>
      <c r="G17" s="8"/>
      <c r="H17" s="8"/>
      <c r="I17" s="6"/>
      <c r="J17" s="6"/>
      <c r="K17" s="6"/>
      <c r="L17" s="6"/>
      <c r="M17" s="6"/>
      <c r="N17" s="6"/>
      <c r="O17" s="7"/>
    </row>
    <row r="18" spans="1:15" ht="19.5" customHeight="1" x14ac:dyDescent="0.25">
      <c r="A18" s="26" t="s">
        <v>40</v>
      </c>
      <c r="B18" s="8" t="s">
        <v>52</v>
      </c>
      <c r="C18" s="8" t="s">
        <v>52</v>
      </c>
      <c r="D18" s="8" t="s">
        <v>52</v>
      </c>
      <c r="E18" s="8"/>
      <c r="F18" s="8"/>
      <c r="G18" s="8"/>
      <c r="H18" s="8"/>
      <c r="I18" s="6"/>
      <c r="J18" s="6"/>
      <c r="K18" s="6"/>
      <c r="L18" s="6"/>
      <c r="M18" s="6"/>
      <c r="N18" s="6"/>
      <c r="O18" s="7"/>
    </row>
    <row r="19" spans="1:15" ht="19.5" customHeight="1" x14ac:dyDescent="0.25">
      <c r="A19" s="26" t="s">
        <v>50</v>
      </c>
      <c r="B19" s="6">
        <v>-10.568899999999999</v>
      </c>
      <c r="C19" s="6">
        <v>-10.568899999999999</v>
      </c>
      <c r="D19" s="6">
        <v>-10.568899999999999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ht="19.5" customHeight="1" x14ac:dyDescent="0.25">
      <c r="A20" s="26" t="s">
        <v>42</v>
      </c>
      <c r="B20" s="6">
        <v>75.329480000000004</v>
      </c>
      <c r="C20" s="6">
        <v>75.329480000000004</v>
      </c>
      <c r="D20" s="6">
        <v>75.329480000000004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1:15" ht="19.5" customHeight="1" x14ac:dyDescent="0.25">
      <c r="A21" s="26" t="s">
        <v>43</v>
      </c>
      <c r="B21" s="11">
        <v>8664854</v>
      </c>
      <c r="C21" s="11">
        <v>8666242</v>
      </c>
      <c r="D21" s="11">
        <v>8666829</v>
      </c>
      <c r="E21" s="11"/>
      <c r="F21" s="11"/>
      <c r="G21" s="11"/>
      <c r="H21" s="11"/>
      <c r="I21" s="6"/>
      <c r="J21" s="6"/>
      <c r="K21" s="6"/>
      <c r="L21" s="6"/>
      <c r="M21" s="6"/>
      <c r="N21" s="6"/>
      <c r="O21" s="7"/>
    </row>
    <row r="22" spans="1:15" ht="19.5" customHeight="1" x14ac:dyDescent="0.25">
      <c r="A22" s="26" t="s">
        <v>44</v>
      </c>
      <c r="B22" s="11">
        <v>478471</v>
      </c>
      <c r="C22" s="11">
        <v>476779</v>
      </c>
      <c r="D22" s="11">
        <v>476976</v>
      </c>
      <c r="E22" s="11"/>
      <c r="F22" s="11"/>
      <c r="G22" s="11"/>
      <c r="H22" s="11"/>
      <c r="I22" s="6"/>
      <c r="J22" s="6"/>
      <c r="K22" s="6"/>
      <c r="L22" s="6"/>
      <c r="M22" s="6"/>
      <c r="N22" s="6"/>
      <c r="O22" s="7"/>
    </row>
    <row r="23" spans="1:15" ht="19.5" customHeight="1" x14ac:dyDescent="0.25">
      <c r="A23" s="26" t="s">
        <v>45</v>
      </c>
      <c r="B23" s="6">
        <v>1800</v>
      </c>
      <c r="C23" s="6">
        <v>1800</v>
      </c>
      <c r="D23" s="6">
        <v>1800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5" ht="123" customHeight="1" x14ac:dyDescent="0.25">
      <c r="A24" s="31" t="s">
        <v>46</v>
      </c>
      <c r="B24" s="39" t="s">
        <v>27</v>
      </c>
      <c r="C24" s="39" t="s">
        <v>27</v>
      </c>
      <c r="D24" s="39" t="s">
        <v>27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</row>
    <row r="25" spans="1:15" ht="63" customHeight="1" x14ac:dyDescent="0.25">
      <c r="A25" s="12"/>
      <c r="B25" s="16"/>
      <c r="C25" s="16"/>
      <c r="D25" s="16"/>
      <c r="E25" s="16"/>
      <c r="F25" s="16"/>
      <c r="G25" s="16"/>
      <c r="H25" s="16"/>
      <c r="I25" s="13"/>
      <c r="J25" s="13"/>
      <c r="K25" s="13"/>
      <c r="L25" s="13"/>
      <c r="M25" s="13"/>
      <c r="N25" s="13"/>
    </row>
  </sheetData>
  <mergeCells count="10">
    <mergeCell ref="B25:H25"/>
    <mergeCell ref="A1:G1"/>
    <mergeCell ref="C3:G3"/>
    <mergeCell ref="C4:G4"/>
    <mergeCell ref="C5:G5"/>
    <mergeCell ref="C6:G6"/>
    <mergeCell ref="C7:G7"/>
    <mergeCell ref="C8:G8"/>
    <mergeCell ref="C9:G9"/>
    <mergeCell ref="B2:G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18DD-654F-442D-B177-0CE02A492812}">
  <sheetPr>
    <tabColor rgb="FF00B0F0"/>
  </sheetPr>
  <dimension ref="D1:T26"/>
  <sheetViews>
    <sheetView showGridLines="0" topLeftCell="A4" workbookViewId="0">
      <selection activeCell="U17" sqref="U17"/>
    </sheetView>
  </sheetViews>
  <sheetFormatPr baseColWidth="10" defaultRowHeight="15" x14ac:dyDescent="0.25"/>
  <sheetData>
    <row r="1" spans="4:20" ht="22.5" customHeight="1" x14ac:dyDescent="0.25"/>
    <row r="2" spans="4:20" x14ac:dyDescent="0.25">
      <c r="D2" s="18" t="s">
        <v>59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4:20" x14ac:dyDescent="0.25"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4:20" ht="65.25" customHeight="1" x14ac:dyDescent="0.25"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4:20" ht="36" customHeight="1" x14ac:dyDescent="0.25"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8" spans="4:20" ht="19.5" x14ac:dyDescent="0.25">
      <c r="D8" s="19" t="s">
        <v>60</v>
      </c>
      <c r="E8" s="19"/>
      <c r="F8" s="19"/>
    </row>
    <row r="9" spans="4:20" x14ac:dyDescent="0.25">
      <c r="N9" s="20" t="s">
        <v>61</v>
      </c>
      <c r="O9" s="20"/>
      <c r="P9" s="20"/>
      <c r="Q9" s="20"/>
      <c r="R9" s="20"/>
      <c r="S9" s="20"/>
      <c r="T9" s="20"/>
    </row>
    <row r="10" spans="4:20" x14ac:dyDescent="0.25">
      <c r="N10" s="20"/>
      <c r="O10" s="20"/>
      <c r="P10" s="20"/>
      <c r="Q10" s="20"/>
      <c r="R10" s="20"/>
      <c r="S10" s="20"/>
      <c r="T10" s="20"/>
    </row>
    <row r="11" spans="4:20" x14ac:dyDescent="0.25">
      <c r="N11" s="20"/>
      <c r="O11" s="20"/>
      <c r="P11" s="20"/>
      <c r="Q11" s="20"/>
      <c r="R11" s="20"/>
      <c r="S11" s="20"/>
      <c r="T11" s="20"/>
    </row>
    <row r="12" spans="4:20" x14ac:dyDescent="0.25">
      <c r="N12" s="20"/>
      <c r="O12" s="20"/>
      <c r="P12" s="20"/>
      <c r="Q12" s="20"/>
      <c r="R12" s="20"/>
      <c r="S12" s="20"/>
      <c r="T12" s="20"/>
    </row>
    <row r="13" spans="4:20" x14ac:dyDescent="0.25">
      <c r="N13" s="20"/>
      <c r="O13" s="20"/>
      <c r="P13" s="20"/>
      <c r="Q13" s="20"/>
      <c r="R13" s="20"/>
      <c r="S13" s="20"/>
      <c r="T13" s="20"/>
    </row>
    <row r="14" spans="4:20" x14ac:dyDescent="0.25">
      <c r="N14" s="20"/>
      <c r="O14" s="20"/>
      <c r="P14" s="20"/>
      <c r="Q14" s="20"/>
      <c r="R14" s="20"/>
      <c r="S14" s="20"/>
      <c r="T14" s="20"/>
    </row>
    <row r="15" spans="4:20" x14ac:dyDescent="0.25">
      <c r="N15" s="20"/>
      <c r="O15" s="20"/>
      <c r="P15" s="20"/>
      <c r="Q15" s="20"/>
      <c r="R15" s="20"/>
      <c r="S15" s="20"/>
      <c r="T15" s="20"/>
    </row>
    <row r="16" spans="4:20" x14ac:dyDescent="0.25">
      <c r="N16" s="20"/>
      <c r="O16" s="20"/>
      <c r="P16" s="20"/>
      <c r="Q16" s="20"/>
      <c r="R16" s="20"/>
      <c r="S16" s="20"/>
      <c r="T16" s="20"/>
    </row>
    <row r="17" spans="4:20" x14ac:dyDescent="0.25">
      <c r="N17" s="20"/>
      <c r="O17" s="20"/>
      <c r="P17" s="20"/>
      <c r="Q17" s="20"/>
      <c r="R17" s="20"/>
      <c r="S17" s="20"/>
      <c r="T17" s="20"/>
    </row>
    <row r="18" spans="4:20" x14ac:dyDescent="0.25">
      <c r="N18" s="20"/>
      <c r="O18" s="20"/>
      <c r="P18" s="20"/>
      <c r="Q18" s="20"/>
      <c r="R18" s="20"/>
      <c r="S18" s="20"/>
      <c r="T18" s="20"/>
    </row>
    <row r="19" spans="4:20" x14ac:dyDescent="0.25">
      <c r="N19" s="20"/>
      <c r="O19" s="20"/>
      <c r="P19" s="20"/>
      <c r="Q19" s="20"/>
      <c r="R19" s="20"/>
      <c r="S19" s="20"/>
      <c r="T19" s="20"/>
    </row>
    <row r="20" spans="4:20" x14ac:dyDescent="0.25">
      <c r="N20" s="20"/>
      <c r="O20" s="20"/>
      <c r="P20" s="20"/>
      <c r="Q20" s="20"/>
      <c r="R20" s="20"/>
      <c r="S20" s="20"/>
      <c r="T20" s="20"/>
    </row>
    <row r="25" spans="4:20" x14ac:dyDescent="0.25">
      <c r="D25" s="21" t="s">
        <v>62</v>
      </c>
      <c r="E25" s="21"/>
      <c r="F25" s="21"/>
      <c r="G25" s="21"/>
      <c r="H25" s="21"/>
      <c r="J25" s="22" t="s">
        <v>63</v>
      </c>
      <c r="K25" s="22"/>
      <c r="L25" s="22"/>
      <c r="M25" s="22"/>
      <c r="N25" s="22"/>
      <c r="P25" s="23" t="s">
        <v>64</v>
      </c>
      <c r="Q25" s="23"/>
      <c r="R25" s="23"/>
      <c r="S25" s="23"/>
      <c r="T25" s="23"/>
    </row>
    <row r="26" spans="4:20" x14ac:dyDescent="0.25">
      <c r="D26" s="21"/>
      <c r="E26" s="21"/>
      <c r="F26" s="21"/>
      <c r="G26" s="21"/>
      <c r="H26" s="21"/>
      <c r="J26" s="22"/>
      <c r="K26" s="22"/>
      <c r="L26" s="22"/>
      <c r="M26" s="22"/>
      <c r="N26" s="22"/>
      <c r="P26" s="23"/>
      <c r="Q26" s="23"/>
      <c r="R26" s="23"/>
      <c r="S26" s="23"/>
      <c r="T26" s="23"/>
    </row>
  </sheetData>
  <mergeCells count="6">
    <mergeCell ref="D2:T5"/>
    <mergeCell ref="D8:F8"/>
    <mergeCell ref="N9:T20"/>
    <mergeCell ref="D25:H26"/>
    <mergeCell ref="J25:N26"/>
    <mergeCell ref="P25:T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001</vt:lpstr>
      <vt:lpstr>FORMULARIO 002 Y 003</vt:lpstr>
      <vt:lpstr>FORMULARIO 004 Y 005</vt:lpstr>
      <vt:lpstr>IQ GeoSpatial 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 Cesar Quintana Errazabal</dc:creator>
  <cp:lastModifiedBy>Isaias Cesar Quintana Errazabal</cp:lastModifiedBy>
  <dcterms:created xsi:type="dcterms:W3CDTF">2025-06-10T15:25:46Z</dcterms:created>
  <dcterms:modified xsi:type="dcterms:W3CDTF">2025-08-28T01:46:08Z</dcterms:modified>
</cp:coreProperties>
</file>